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21"/>
  <workbookPr defaultThemeVersion="166925"/>
  <xr:revisionPtr revIDLastSave="896" documentId="11_924805B546FA86936262E6F9983E8C1851038381" xr6:coauthVersionLast="47" xr6:coauthVersionMax="47" xr10:uidLastSave="{035422EC-7CC4-48F3-8E2D-DFED45D967D5}"/>
  <bookViews>
    <workbookView xWindow="240" yWindow="105" windowWidth="14805" windowHeight="801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  <c r="P28" i="1"/>
  <c r="Q28" i="1"/>
  <c r="R28" i="1"/>
  <c r="P29" i="1"/>
  <c r="Q29" i="1"/>
  <c r="R29" i="1"/>
  <c r="P30" i="1"/>
  <c r="Q30" i="1"/>
  <c r="R30" i="1"/>
  <c r="R27" i="1"/>
  <c r="Q27" i="1"/>
  <c r="P27" i="1"/>
  <c r="P23" i="1"/>
  <c r="Q23" i="1"/>
  <c r="R23" i="1"/>
  <c r="P24" i="1"/>
  <c r="Q24" i="1"/>
  <c r="R24" i="1"/>
  <c r="P25" i="1"/>
  <c r="Q25" i="1"/>
  <c r="R25" i="1"/>
  <c r="R22" i="1"/>
  <c r="Q22" i="1"/>
  <c r="P22" i="1"/>
  <c r="P18" i="1"/>
  <c r="Q18" i="1"/>
  <c r="R18" i="1"/>
  <c r="P19" i="1"/>
  <c r="Q19" i="1"/>
  <c r="R19" i="1"/>
  <c r="P20" i="1"/>
  <c r="Q20" i="1"/>
  <c r="R20" i="1"/>
  <c r="R17" i="1"/>
  <c r="Q17" i="1"/>
  <c r="P17" i="1"/>
  <c r="I17" i="1"/>
  <c r="I28" i="1"/>
  <c r="J28" i="1"/>
  <c r="K28" i="1"/>
  <c r="I29" i="1"/>
  <c r="K29" i="1"/>
  <c r="I30" i="1"/>
  <c r="J30" i="1"/>
  <c r="K30" i="1"/>
  <c r="K27" i="1"/>
  <c r="J27" i="1"/>
  <c r="I27" i="1"/>
  <c r="I23" i="1"/>
  <c r="J23" i="1"/>
  <c r="K23" i="1"/>
  <c r="I24" i="1"/>
  <c r="J24" i="1"/>
  <c r="K24" i="1"/>
  <c r="I25" i="1"/>
  <c r="J25" i="1"/>
  <c r="K25" i="1"/>
  <c r="K22" i="1"/>
  <c r="J22" i="1"/>
  <c r="I22" i="1"/>
  <c r="I18" i="1"/>
  <c r="J18" i="1"/>
  <c r="K18" i="1"/>
  <c r="I19" i="1"/>
  <c r="J19" i="1"/>
  <c r="K19" i="1"/>
  <c r="I20" i="1"/>
  <c r="J20" i="1"/>
  <c r="K20" i="1"/>
  <c r="K17" i="1"/>
  <c r="I13" i="1"/>
  <c r="J13" i="1"/>
  <c r="K13" i="1"/>
  <c r="I14" i="1"/>
  <c r="J14" i="1"/>
  <c r="K14" i="1"/>
  <c r="I15" i="1"/>
  <c r="J15" i="1"/>
  <c r="K15" i="1"/>
  <c r="K12" i="1"/>
  <c r="J12" i="1"/>
  <c r="I12" i="1"/>
  <c r="J17" i="1"/>
  <c r="I3" i="1"/>
  <c r="J3" i="1"/>
  <c r="K3" i="1"/>
  <c r="I4" i="1"/>
  <c r="J4" i="1"/>
  <c r="K4" i="1"/>
  <c r="I5" i="1"/>
  <c r="J5" i="1"/>
  <c r="K5" i="1"/>
  <c r="I2" i="1"/>
  <c r="J2" i="1"/>
  <c r="K2" i="1"/>
  <c r="I8" i="1"/>
  <c r="J8" i="1"/>
  <c r="K8" i="1"/>
  <c r="I9" i="1"/>
  <c r="J9" i="1"/>
  <c r="K9" i="1"/>
  <c r="I10" i="1"/>
  <c r="J10" i="1"/>
  <c r="K10" i="1"/>
  <c r="K7" i="1"/>
  <c r="J7" i="1"/>
  <c r="I7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</calcChain>
</file>

<file path=xl/sharedStrings.xml><?xml version="1.0" encoding="utf-8"?>
<sst xmlns="http://schemas.openxmlformats.org/spreadsheetml/2006/main" count="168" uniqueCount="13">
  <si>
    <t>Adresse</t>
  </si>
  <si>
    <t>Bil: Venteliste/p-plads</t>
  </si>
  <si>
    <t>MC: Venteliste/p-plads</t>
  </si>
  <si>
    <t>vej</t>
  </si>
  <si>
    <t>nr</t>
  </si>
  <si>
    <t>etage</t>
  </si>
  <si>
    <t>side</t>
  </si>
  <si>
    <t>Vigerslevvej</t>
  </si>
  <si>
    <t>st</t>
  </si>
  <si>
    <t>tv</t>
  </si>
  <si>
    <t>mf</t>
  </si>
  <si>
    <t>th</t>
  </si>
  <si>
    <t>Skyttegaardvej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</si>
</sst>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9C5700"/>
      <name val="Calibri"/>
      <family val="2"/>
    </font>
    <font>
      <sz val="11"/>
      <color theme="0"/>
      <name val="Calibri"/>
      <family val="2"/>
      <scheme val="minor"/>
    </font>
    <font>
      <sz val="10"/>
      <color rgb="FF333333"/>
      <name val="Verdana"/>
      <charset val="1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" fontId="0" fillId="0" borderId="0" xfId="0" applyNumberFormat="1"/>
    <xf numFmtId="0" fontId="1" fillId="2" borderId="0" xfId="0" applyFont="1" applyFill="1" applyBorder="1" applyAlignment="1"/>
    <xf numFmtId="0" fontId="0" fillId="0" borderId="0" xfId="0" applyNumberFormat="1"/>
    <xf numFmtId="0" fontId="2" fillId="0" borderId="0" xfId="0" applyFont="1"/>
    <xf numFmtId="0" fontId="3" fillId="0" borderId="0" xfId="0" applyFont="1" applyAlignment="1">
      <alignment wrapText="1" readingOrder="1"/>
    </xf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F0"/>
      </font>
      <fill>
        <patternFill patternType="solid">
          <bgColor rgb="FF00B0F0"/>
        </patternFill>
      </fill>
    </dxf>
    <dxf>
      <font>
        <color rgb="FF00B0F0"/>
      </font>
      <fill>
        <patternFill patternType="solid">
          <bgColor rgb="FF00B0F0"/>
        </patternFill>
      </fill>
    </dxf>
    <dxf>
      <font>
        <color rgb="FF00B0F0"/>
      </font>
      <fill>
        <patternFill patternType="solid">
          <bgColor rgb="FF00B0F0"/>
        </patternFill>
      </fill>
    </dxf>
    <dxf>
      <font>
        <color rgb="FF00B0F0"/>
      </font>
      <fill>
        <patternFill patternType="solid">
          <bgColor rgb="FF00B0F0"/>
        </patternFill>
      </fill>
    </dxf>
    <dxf>
      <font>
        <color rgb="FF00B0F0"/>
      </font>
      <fill>
        <patternFill patternType="solid">
          <bgColor rgb="FF00B0F0"/>
        </patternFill>
      </fill>
    </dxf>
    <dxf>
      <font>
        <color rgb="FF00B0F0"/>
      </font>
      <fill>
        <patternFill patternType="solid">
          <bgColor rgb="FF00B0F0"/>
        </patternFill>
      </fill>
    </dxf>
    <dxf>
      <font>
        <color rgb="FF00B0F0"/>
      </font>
      <fill>
        <patternFill patternType="solid">
          <bgColor rgb="FF00B0F0"/>
        </patternFill>
      </fill>
    </dxf>
    <dxf>
      <font>
        <color rgb="FF00B0F0"/>
      </font>
      <fill>
        <patternFill patternType="solid">
          <bgColor rgb="FF00B0F0"/>
        </patternFill>
      </fill>
    </dxf>
    <dxf>
      <font>
        <color rgb="FF00B0F0"/>
      </font>
      <fill>
        <patternFill patternType="solid"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11</xdr:col>
      <xdr:colOff>0</xdr:colOff>
      <xdr:row>5</xdr:row>
      <xdr:rowOff>0</xdr:rowOff>
    </xdr:to>
    <xdr:sp macro="" textlink="">
      <xdr:nvSpPr>
        <xdr:cNvPr id="2" name="Rektangel 1">
          <a:extLst>
            <a:ext uri="{FF2B5EF4-FFF2-40B4-BE49-F238E27FC236}">
              <a16:creationId xmlns:a16="http://schemas.microsoft.com/office/drawing/2014/main" id="{C07E0165-C988-91D4-F42D-5020787C24CD}"/>
            </a:ext>
          </a:extLst>
        </xdr:cNvPr>
        <xdr:cNvSpPr/>
      </xdr:nvSpPr>
      <xdr:spPr>
        <a:xfrm>
          <a:off x="4467225" y="190500"/>
          <a:ext cx="1828800" cy="7620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</a:t>
          </a:r>
        </a:p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DR42498</a:t>
          </a:r>
        </a:p>
      </xdr:txBody>
    </xdr:sp>
    <xdr:clientData/>
  </xdr:twoCellAnchor>
  <xdr:twoCellAnchor>
    <xdr:from>
      <xdr:col>8</xdr:col>
      <xdr:colOff>0</xdr:colOff>
      <xdr:row>11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8" name="Rektangel 27">
          <a:extLst>
            <a:ext uri="{FF2B5EF4-FFF2-40B4-BE49-F238E27FC236}">
              <a16:creationId xmlns:a16="http://schemas.microsoft.com/office/drawing/2014/main" id="{192C6ECD-80EA-4715-8149-9D6939A81EB8}"/>
            </a:ext>
            <a:ext uri="{147F2762-F138-4A5C-976F-8EAC2B608ADB}">
              <a16:predDERef xmlns:a16="http://schemas.microsoft.com/office/drawing/2014/main" pred="{C07E0165-C988-91D4-F42D-5020787C24CD}"/>
            </a:ext>
          </a:extLst>
        </xdr:cNvPr>
        <xdr:cNvSpPr/>
      </xdr:nvSpPr>
      <xdr:spPr>
        <a:xfrm>
          <a:off x="4467225" y="2095500"/>
          <a:ext cx="1828800" cy="7620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</a:t>
          </a:r>
        </a:p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BJ43775</a:t>
          </a:r>
        </a:p>
      </xdr:txBody>
    </xdr:sp>
    <xdr:clientData/>
  </xdr:twoCellAnchor>
  <xdr:twoCellAnchor>
    <xdr:from>
      <xdr:col>8</xdr:col>
      <xdr:colOff>0</xdr:colOff>
      <xdr:row>5</xdr:row>
      <xdr:rowOff>180975</xdr:rowOff>
    </xdr:from>
    <xdr:to>
      <xdr:col>11</xdr:col>
      <xdr:colOff>0</xdr:colOff>
      <xdr:row>9</xdr:row>
      <xdr:rowOff>180975</xdr:rowOff>
    </xdr:to>
    <xdr:sp macro="" textlink="">
      <xdr:nvSpPr>
        <xdr:cNvPr id="29" name="Rektangel 28">
          <a:extLst>
            <a:ext uri="{FF2B5EF4-FFF2-40B4-BE49-F238E27FC236}">
              <a16:creationId xmlns:a16="http://schemas.microsoft.com/office/drawing/2014/main" id="{BBDF8292-0DD8-46B8-A90D-86A5BD85FE2D}"/>
            </a:ext>
            <a:ext uri="{147F2762-F138-4A5C-976F-8EAC2B608ADB}">
              <a16:predDERef xmlns:a16="http://schemas.microsoft.com/office/drawing/2014/main" pred="{192C6ECD-80EA-4715-8149-9D6939A81EB8}"/>
            </a:ext>
          </a:extLst>
        </xdr:cNvPr>
        <xdr:cNvSpPr/>
      </xdr:nvSpPr>
      <xdr:spPr>
        <a:xfrm>
          <a:off x="4467225" y="1133475"/>
          <a:ext cx="1828800" cy="7620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5</a:t>
          </a:r>
        </a:p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AE55370</a:t>
          </a:r>
        </a:p>
      </xdr:txBody>
    </xdr:sp>
    <xdr:clientData/>
  </xdr:twoCellAnchor>
  <xdr:twoCellAnchor>
    <xdr:from>
      <xdr:col>8</xdr:col>
      <xdr:colOff>0</xdr:colOff>
      <xdr:row>15</xdr:row>
      <xdr:rowOff>180975</xdr:rowOff>
    </xdr:from>
    <xdr:to>
      <xdr:col>11</xdr:col>
      <xdr:colOff>0</xdr:colOff>
      <xdr:row>19</xdr:row>
      <xdr:rowOff>180975</xdr:rowOff>
    </xdr:to>
    <xdr:sp macro="" textlink="">
      <xdr:nvSpPr>
        <xdr:cNvPr id="30" name="Rektangel 29">
          <a:extLst>
            <a:ext uri="{FF2B5EF4-FFF2-40B4-BE49-F238E27FC236}">
              <a16:creationId xmlns:a16="http://schemas.microsoft.com/office/drawing/2014/main" id="{B4074C8E-B336-445C-8705-18973DA9CC24}"/>
            </a:ext>
            <a:ext uri="{147F2762-F138-4A5C-976F-8EAC2B608ADB}">
              <a16:predDERef xmlns:a16="http://schemas.microsoft.com/office/drawing/2014/main" pred="{BBDF8292-0DD8-46B8-A90D-86A5BD85FE2D}"/>
            </a:ext>
          </a:extLst>
        </xdr:cNvPr>
        <xdr:cNvSpPr/>
      </xdr:nvSpPr>
      <xdr:spPr>
        <a:xfrm>
          <a:off x="4467225" y="3038475"/>
          <a:ext cx="1828800" cy="7620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</a:t>
          </a:r>
        </a:p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DA64446</a:t>
          </a:r>
        </a:p>
      </xdr:txBody>
    </xdr:sp>
    <xdr:clientData/>
  </xdr:twoCellAnchor>
  <xdr:twoCellAnchor>
    <xdr:from>
      <xdr:col>8</xdr:col>
      <xdr:colOff>0</xdr:colOff>
      <xdr:row>21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31" name="Rektangel 30">
          <a:extLst>
            <a:ext uri="{FF2B5EF4-FFF2-40B4-BE49-F238E27FC236}">
              <a16:creationId xmlns:a16="http://schemas.microsoft.com/office/drawing/2014/main" id="{BE0AD516-820D-468B-8236-37C7FFE62FAB}"/>
            </a:ext>
            <a:ext uri="{147F2762-F138-4A5C-976F-8EAC2B608ADB}">
              <a16:predDERef xmlns:a16="http://schemas.microsoft.com/office/drawing/2014/main" pred="{B4074C8E-B336-445C-8705-18973DA9CC24}"/>
            </a:ext>
          </a:extLst>
        </xdr:cNvPr>
        <xdr:cNvSpPr/>
      </xdr:nvSpPr>
      <xdr:spPr>
        <a:xfrm>
          <a:off x="4467225" y="4000500"/>
          <a:ext cx="1828800" cy="7620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</a:t>
          </a:r>
        </a:p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EC93358</a:t>
          </a:r>
        </a:p>
      </xdr:txBody>
    </xdr:sp>
    <xdr:clientData/>
  </xdr:twoCellAnchor>
  <xdr:twoCellAnchor>
    <xdr:from>
      <xdr:col>8</xdr:col>
      <xdr:colOff>0</xdr:colOff>
      <xdr:row>25</xdr:row>
      <xdr:rowOff>180975</xdr:rowOff>
    </xdr:from>
    <xdr:to>
      <xdr:col>11</xdr:col>
      <xdr:colOff>0</xdr:colOff>
      <xdr:row>29</xdr:row>
      <xdr:rowOff>180975</xdr:rowOff>
    </xdr:to>
    <xdr:sp macro="" textlink="">
      <xdr:nvSpPr>
        <xdr:cNvPr id="32" name="Rektangel 31">
          <a:extLst>
            <a:ext uri="{FF2B5EF4-FFF2-40B4-BE49-F238E27FC236}">
              <a16:creationId xmlns:a16="http://schemas.microsoft.com/office/drawing/2014/main" id="{D1C26BC5-8B4C-4B68-918D-135E69380EF1}"/>
            </a:ext>
            <a:ext uri="{147F2762-F138-4A5C-976F-8EAC2B608ADB}">
              <a16:predDERef xmlns:a16="http://schemas.microsoft.com/office/drawing/2014/main" pred="{BE0AD516-820D-468B-8236-37C7FFE62FAB}"/>
            </a:ext>
          </a:extLst>
        </xdr:cNvPr>
        <xdr:cNvSpPr/>
      </xdr:nvSpPr>
      <xdr:spPr>
        <a:xfrm>
          <a:off x="4467225" y="4943475"/>
          <a:ext cx="1828800" cy="7620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9</a:t>
          </a:r>
        </a:p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CX47607</a:t>
          </a:r>
        </a:p>
      </xdr:txBody>
    </xdr:sp>
    <xdr:clientData/>
  </xdr:twoCellAnchor>
  <xdr:twoCellAnchor>
    <xdr:from>
      <xdr:col>14</xdr:col>
      <xdr:colOff>600075</xdr:colOff>
      <xdr:row>15</xdr:row>
      <xdr:rowOff>180975</xdr:rowOff>
    </xdr:from>
    <xdr:to>
      <xdr:col>17</xdr:col>
      <xdr:colOff>581025</xdr:colOff>
      <xdr:row>19</xdr:row>
      <xdr:rowOff>180975</xdr:rowOff>
    </xdr:to>
    <xdr:sp macro="" textlink="">
      <xdr:nvSpPr>
        <xdr:cNvPr id="5" name="Rektangel 32">
          <a:extLst>
            <a:ext uri="{FF2B5EF4-FFF2-40B4-BE49-F238E27FC236}">
              <a16:creationId xmlns:a16="http://schemas.microsoft.com/office/drawing/2014/main" id="{F4913E5C-04E9-4BC6-BD03-C57B0E55A3BC}"/>
            </a:ext>
            <a:ext uri="{147F2762-F138-4A5C-976F-8EAC2B608ADB}">
              <a16:predDERef xmlns:a16="http://schemas.microsoft.com/office/drawing/2014/main" pred="{D1C26BC5-8B4C-4B68-918D-135E69380EF1}"/>
            </a:ext>
          </a:extLst>
        </xdr:cNvPr>
        <xdr:cNvSpPr/>
      </xdr:nvSpPr>
      <xdr:spPr>
        <a:xfrm>
          <a:off x="8115300" y="3038475"/>
          <a:ext cx="1762125" cy="7620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</a:t>
          </a:r>
        </a:p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EK62712</a:t>
          </a:r>
        </a:p>
      </xdr:txBody>
    </xdr:sp>
    <xdr:clientData/>
  </xdr:twoCellAnchor>
  <xdr:twoCellAnchor>
    <xdr:from>
      <xdr:col>14</xdr:col>
      <xdr:colOff>600075</xdr:colOff>
      <xdr:row>21</xdr:row>
      <xdr:rowOff>0</xdr:rowOff>
    </xdr:from>
    <xdr:to>
      <xdr:col>17</xdr:col>
      <xdr:colOff>590550</xdr:colOff>
      <xdr:row>25</xdr:row>
      <xdr:rowOff>0</xdr:rowOff>
    </xdr:to>
    <xdr:sp macro="" textlink="">
      <xdr:nvSpPr>
        <xdr:cNvPr id="6" name="Rektangel 33">
          <a:extLst>
            <a:ext uri="{FF2B5EF4-FFF2-40B4-BE49-F238E27FC236}">
              <a16:creationId xmlns:a16="http://schemas.microsoft.com/office/drawing/2014/main" id="{4F22D65E-A79C-4C5C-BB37-DE1B87B42FA4}"/>
            </a:ext>
            <a:ext uri="{147F2762-F138-4A5C-976F-8EAC2B608ADB}">
              <a16:predDERef xmlns:a16="http://schemas.microsoft.com/office/drawing/2014/main" pred="{F4913E5C-04E9-4BC6-BD03-C57B0E55A3BC}"/>
            </a:ext>
          </a:extLst>
        </xdr:cNvPr>
        <xdr:cNvSpPr/>
      </xdr:nvSpPr>
      <xdr:spPr>
        <a:xfrm>
          <a:off x="8115300" y="4000500"/>
          <a:ext cx="1771650" cy="7620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2</a:t>
          </a:r>
        </a:p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DF86320</a:t>
          </a:r>
        </a:p>
      </xdr:txBody>
    </xdr:sp>
    <xdr:clientData/>
  </xdr:twoCellAnchor>
  <xdr:twoCellAnchor>
    <xdr:from>
      <xdr:col>14</xdr:col>
      <xdr:colOff>600075</xdr:colOff>
      <xdr:row>25</xdr:row>
      <xdr:rowOff>171450</xdr:rowOff>
    </xdr:from>
    <xdr:to>
      <xdr:col>17</xdr:col>
      <xdr:colOff>600075</xdr:colOff>
      <xdr:row>29</xdr:row>
      <xdr:rowOff>171450</xdr:rowOff>
    </xdr:to>
    <xdr:sp macro="" textlink="">
      <xdr:nvSpPr>
        <xdr:cNvPr id="4" name="Rektangel 34">
          <a:extLst>
            <a:ext uri="{FF2B5EF4-FFF2-40B4-BE49-F238E27FC236}">
              <a16:creationId xmlns:a16="http://schemas.microsoft.com/office/drawing/2014/main" id="{BC35867B-D2D7-42D8-96BF-5CC75C4F6E67}"/>
            </a:ext>
            <a:ext uri="{147F2762-F138-4A5C-976F-8EAC2B608ADB}">
              <a16:predDERef xmlns:a16="http://schemas.microsoft.com/office/drawing/2014/main" pred="{4F22D65E-A79C-4C5C-BB37-DE1B87B42FA4}"/>
            </a:ext>
          </a:extLst>
        </xdr:cNvPr>
        <xdr:cNvSpPr/>
      </xdr:nvSpPr>
      <xdr:spPr>
        <a:xfrm>
          <a:off x="7505700" y="4933950"/>
          <a:ext cx="1781175" cy="7620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</a:t>
          </a:r>
        </a:p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ER47723</a:t>
          </a:r>
        </a:p>
      </xdr:txBody>
    </xdr:sp>
    <xdr:clientData/>
  </xdr:twoCellAnchor>
  <xdr:twoCellAnchor>
    <xdr:from>
      <xdr:col>15</xdr:col>
      <xdr:colOff>28575</xdr:colOff>
      <xdr:row>1</xdr:row>
      <xdr:rowOff>0</xdr:rowOff>
    </xdr:from>
    <xdr:to>
      <xdr:col>20</xdr:col>
      <xdr:colOff>9525</xdr:colOff>
      <xdr:row>13</xdr:row>
      <xdr:rowOff>0</xdr:rowOff>
    </xdr:to>
    <xdr:sp macro="" textlink="">
      <xdr:nvSpPr>
        <xdr:cNvPr id="3" name="Rektangel 35">
          <a:extLst>
            <a:ext uri="{FF2B5EF4-FFF2-40B4-BE49-F238E27FC236}">
              <a16:creationId xmlns:a16="http://schemas.microsoft.com/office/drawing/2014/main" id="{ACA63471-0507-D3B0-F49D-E4BAE070929F}"/>
            </a:ext>
            <a:ext uri="{147F2762-F138-4A5C-976F-8EAC2B608ADB}">
              <a16:predDERef xmlns:a16="http://schemas.microsoft.com/office/drawing/2014/main" pred="{BC35867B-D2D7-42D8-96BF-5CC75C4F6E67}"/>
            </a:ext>
          </a:extLst>
        </xdr:cNvPr>
        <xdr:cNvSpPr/>
      </xdr:nvSpPr>
      <xdr:spPr>
        <a:xfrm>
          <a:off x="9077325" y="190500"/>
          <a:ext cx="2981325" cy="2286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15</xdr:col>
      <xdr:colOff>19050</xdr:colOff>
      <xdr:row>58</xdr:row>
      <xdr:rowOff>9525</xdr:rowOff>
    </xdr:from>
    <xdr:to>
      <xdr:col>20</xdr:col>
      <xdr:colOff>0</xdr:colOff>
      <xdr:row>70</xdr:row>
      <xdr:rowOff>9525</xdr:rowOff>
    </xdr:to>
    <xdr:sp macro="" textlink="">
      <xdr:nvSpPr>
        <xdr:cNvPr id="15" name="Rektangel 14">
          <a:extLst>
            <a:ext uri="{FF2B5EF4-FFF2-40B4-BE49-F238E27FC236}">
              <a16:creationId xmlns:a16="http://schemas.microsoft.com/office/drawing/2014/main" id="{1FC3B809-58FB-4AC4-B5BD-8A606F8445D2}"/>
            </a:ext>
            <a:ext uri="{147F2762-F138-4A5C-976F-8EAC2B608ADB}">
              <a16:predDERef xmlns:a16="http://schemas.microsoft.com/office/drawing/2014/main" pred="{ACA63471-0507-D3B0-F49D-E4BAE070929F}"/>
            </a:ext>
          </a:extLst>
        </xdr:cNvPr>
        <xdr:cNvSpPr/>
      </xdr:nvSpPr>
      <xdr:spPr>
        <a:xfrm>
          <a:off x="9067800" y="11058525"/>
          <a:ext cx="2981325" cy="2286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590550</xdr:colOff>
      <xdr:row>66</xdr:row>
      <xdr:rowOff>0</xdr:rowOff>
    </xdr:from>
    <xdr:to>
      <xdr:col>14</xdr:col>
      <xdr:colOff>590550</xdr:colOff>
      <xdr:row>70</xdr:row>
      <xdr:rowOff>0</xdr:rowOff>
    </xdr:to>
    <xdr:sp macro="" textlink="">
      <xdr:nvSpPr>
        <xdr:cNvPr id="17" name="Rektangel 16">
          <a:extLst>
            <a:ext uri="{FF2B5EF4-FFF2-40B4-BE49-F238E27FC236}">
              <a16:creationId xmlns:a16="http://schemas.microsoft.com/office/drawing/2014/main" id="{F8E08C35-968E-4858-AC20-E9413891A28F}"/>
            </a:ext>
            <a:ext uri="{147F2762-F138-4A5C-976F-8EAC2B608ADB}">
              <a16:predDERef xmlns:a16="http://schemas.microsoft.com/office/drawing/2014/main" pred="{1FC3B809-58FB-4AC4-B5BD-8A606F8445D2}"/>
            </a:ext>
          </a:extLst>
        </xdr:cNvPr>
        <xdr:cNvSpPr/>
      </xdr:nvSpPr>
      <xdr:spPr>
        <a:xfrm>
          <a:off x="5667375" y="12573000"/>
          <a:ext cx="1828800" cy="762000"/>
        </a:xfrm>
        <a:prstGeom prst="rect">
          <a:avLst/>
        </a:prstGeom>
        <a:ln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10</a:t>
          </a:r>
        </a:p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EW45373</a:t>
          </a:r>
        </a:p>
      </xdr:txBody>
    </xdr:sp>
    <xdr:clientData/>
  </xdr:twoCellAnchor>
  <xdr:twoCellAnchor>
    <xdr:from>
      <xdr:col>8</xdr:col>
      <xdr:colOff>38100</xdr:colOff>
      <xdr:row>66</xdr:row>
      <xdr:rowOff>9525</xdr:rowOff>
    </xdr:from>
    <xdr:to>
      <xdr:col>10</xdr:col>
      <xdr:colOff>590550</xdr:colOff>
      <xdr:row>70</xdr:row>
      <xdr:rowOff>9525</xdr:rowOff>
    </xdr:to>
    <xdr:sp macro="" textlink="">
      <xdr:nvSpPr>
        <xdr:cNvPr id="18" name="Rektangel 17">
          <a:extLst>
            <a:ext uri="{FF2B5EF4-FFF2-40B4-BE49-F238E27FC236}">
              <a16:creationId xmlns:a16="http://schemas.microsoft.com/office/drawing/2014/main" id="{B38E92F6-DEC4-41D7-B388-32D9375AFB34}"/>
            </a:ext>
            <a:ext uri="{147F2762-F138-4A5C-976F-8EAC2B608ADB}">
              <a16:predDERef xmlns:a16="http://schemas.microsoft.com/office/drawing/2014/main" pred="{F8E08C35-968E-4858-AC20-E9413891A28F}"/>
            </a:ext>
          </a:extLst>
        </xdr:cNvPr>
        <xdr:cNvSpPr/>
      </xdr:nvSpPr>
      <xdr:spPr>
        <a:xfrm>
          <a:off x="4248150" y="12582525"/>
          <a:ext cx="1771650" cy="7620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11</a:t>
          </a:r>
        </a:p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EM18505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"/>
  <sheetViews>
    <sheetView tabSelected="1" workbookViewId="0">
      <selection activeCell="Y10" sqref="Y10"/>
    </sheetView>
  </sheetViews>
  <sheetFormatPr defaultColWidth="9.140625" defaultRowHeight="15" outlineLevelRow="1"/>
  <cols>
    <col min="1" max="1" width="22.5703125" bestFit="1" customWidth="1"/>
    <col min="2" max="2" width="19.85546875" bestFit="1" customWidth="1"/>
    <col min="3" max="3" width="20.7109375" bestFit="1" customWidth="1"/>
    <col min="4" max="4" width="14.140625" hidden="1" customWidth="1"/>
    <col min="5" max="5" width="4.42578125" hidden="1" customWidth="1"/>
    <col min="6" max="6" width="6" hidden="1" customWidth="1"/>
    <col min="7" max="8" width="4.7109375" hidden="1" customWidth="1"/>
    <col min="16" max="16" width="8.42578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7" outlineLevel="1">
      <c r="A2" t="str">
        <f>D2&amp;" "&amp;E2&amp;", "&amp;F2&amp;"."&amp;G2</f>
        <v>Vigerslevvej 148, st.tv</v>
      </c>
      <c r="B2">
        <v>0</v>
      </c>
      <c r="C2">
        <v>0</v>
      </c>
      <c r="D2" t="s">
        <v>7</v>
      </c>
      <c r="E2">
        <v>148</v>
      </c>
      <c r="F2" t="s">
        <v>8</v>
      </c>
      <c r="G2" t="s">
        <v>9</v>
      </c>
      <c r="I2" s="4">
        <f>COUNTIF(B:B, 4)</f>
        <v>1</v>
      </c>
      <c r="J2" s="4">
        <f>COUNTIF(B:B, 4)</f>
        <v>1</v>
      </c>
      <c r="K2" s="4">
        <f>COUNTIF(B:B, 4)</f>
        <v>1</v>
      </c>
    </row>
    <row r="3" spans="1:17" outlineLevel="1">
      <c r="A3" t="str">
        <f>D3&amp;" "&amp;E3&amp;", "&amp;F3&amp;"."&amp;G3</f>
        <v>Vigerslevvej 148, st.mf</v>
      </c>
      <c r="B3">
        <v>0</v>
      </c>
      <c r="C3">
        <v>0</v>
      </c>
      <c r="D3" t="s">
        <v>7</v>
      </c>
      <c r="E3">
        <v>148</v>
      </c>
      <c r="F3" t="s">
        <v>8</v>
      </c>
      <c r="G3" t="s">
        <v>10</v>
      </c>
      <c r="I3" s="4">
        <f>COUNTIF(B:B, 4)</f>
        <v>1</v>
      </c>
      <c r="J3" s="4">
        <f>COUNTIF(B:B, 4)</f>
        <v>1</v>
      </c>
      <c r="K3" s="4">
        <f>COUNTIF(B:B, 4)</f>
        <v>1</v>
      </c>
    </row>
    <row r="4" spans="1:17" outlineLevel="1">
      <c r="A4" t="str">
        <f>D4&amp;" "&amp;E4&amp;", "&amp;F4&amp;"."&amp;G4</f>
        <v>Vigerslevvej 148, st.th</v>
      </c>
      <c r="B4">
        <v>0</v>
      </c>
      <c r="C4">
        <v>0</v>
      </c>
      <c r="D4" t="s">
        <v>7</v>
      </c>
      <c r="E4">
        <v>148</v>
      </c>
      <c r="F4" t="s">
        <v>8</v>
      </c>
      <c r="G4" t="s">
        <v>11</v>
      </c>
      <c r="I4" s="4">
        <f>COUNTIF(B:B, 4)</f>
        <v>1</v>
      </c>
      <c r="J4" s="4">
        <f>COUNTIF(B:B, 4)</f>
        <v>1</v>
      </c>
      <c r="K4" s="4">
        <f>COUNTIF(B:B, 4)</f>
        <v>1</v>
      </c>
    </row>
    <row r="5" spans="1:17">
      <c r="A5" t="str">
        <f>D5&amp;" "&amp;E5&amp;", "&amp;F5&amp;"."&amp;G5</f>
        <v>Vigerslevvej 148, 1.tv</v>
      </c>
      <c r="B5">
        <v>0</v>
      </c>
      <c r="C5">
        <v>10</v>
      </c>
      <c r="D5" t="s">
        <v>7</v>
      </c>
      <c r="E5">
        <v>148</v>
      </c>
      <c r="F5">
        <v>1</v>
      </c>
      <c r="G5" t="s">
        <v>9</v>
      </c>
      <c r="I5" s="4">
        <f>COUNTIF(B:B, 4)</f>
        <v>1</v>
      </c>
      <c r="J5" s="4">
        <f>COUNTIF(B:B, 4)</f>
        <v>1</v>
      </c>
      <c r="K5" s="4">
        <f>COUNTIF(B:B, 4)</f>
        <v>1</v>
      </c>
      <c r="Q5" s="3"/>
    </row>
    <row r="6" spans="1:17">
      <c r="A6" t="str">
        <f>D6&amp;" "&amp;E6&amp;", "&amp;F6&amp;"."&amp;G6</f>
        <v>Vigerslevvej 148, 1.mf</v>
      </c>
      <c r="B6">
        <v>0</v>
      </c>
      <c r="C6">
        <v>0</v>
      </c>
      <c r="D6" t="s">
        <v>7</v>
      </c>
      <c r="E6">
        <v>148</v>
      </c>
      <c r="F6">
        <v>1</v>
      </c>
      <c r="G6" t="s">
        <v>10</v>
      </c>
    </row>
    <row r="7" spans="1:17">
      <c r="A7" t="str">
        <f>D7&amp;" "&amp;E7&amp;", "&amp;F7&amp;"."&amp;G7</f>
        <v>Vigerslevvej 148, 1.th</v>
      </c>
      <c r="B7">
        <v>4</v>
      </c>
      <c r="C7">
        <v>0</v>
      </c>
      <c r="D7" t="s">
        <v>7</v>
      </c>
      <c r="E7">
        <v>148</v>
      </c>
      <c r="F7">
        <v>1</v>
      </c>
      <c r="G7" t="s">
        <v>11</v>
      </c>
      <c r="I7" s="4">
        <f>COUNTIF(B:B, 5)</f>
        <v>1</v>
      </c>
      <c r="J7" s="4">
        <f>COUNTIF(B:B, 5)</f>
        <v>1</v>
      </c>
      <c r="K7" s="4">
        <f>COUNTIF(B:B, 5)</f>
        <v>1</v>
      </c>
    </row>
    <row r="8" spans="1:17">
      <c r="A8" t="str">
        <f>D8&amp;" "&amp;E8&amp;", "&amp;F8&amp;"."&amp;G8</f>
        <v>Vigerslevvej 148, 2.tv</v>
      </c>
      <c r="B8">
        <v>0</v>
      </c>
      <c r="C8">
        <v>0</v>
      </c>
      <c r="D8" t="s">
        <v>7</v>
      </c>
      <c r="E8">
        <v>148</v>
      </c>
      <c r="F8">
        <v>2</v>
      </c>
      <c r="G8" t="s">
        <v>9</v>
      </c>
      <c r="I8" s="4">
        <f>COUNTIF(B:B, 5)</f>
        <v>1</v>
      </c>
      <c r="J8" s="4">
        <f>COUNTIF(B:B, 5)</f>
        <v>1</v>
      </c>
      <c r="K8" s="4">
        <f>COUNTIF(B:B, 5)</f>
        <v>1</v>
      </c>
    </row>
    <row r="9" spans="1:17">
      <c r="A9" t="str">
        <f>D9&amp;" "&amp;E9&amp;", "&amp;F9&amp;"."&amp;G9</f>
        <v>Vigerslevvej 148, 2.mf</v>
      </c>
      <c r="B9">
        <v>0</v>
      </c>
      <c r="C9">
        <v>0</v>
      </c>
      <c r="D9" t="s">
        <v>7</v>
      </c>
      <c r="E9">
        <v>148</v>
      </c>
      <c r="F9">
        <v>2</v>
      </c>
      <c r="G9" t="s">
        <v>10</v>
      </c>
      <c r="I9" s="4">
        <f>COUNTIF(B:B, 5)</f>
        <v>1</v>
      </c>
      <c r="J9" s="4">
        <f>COUNTIF(B:B, 5)</f>
        <v>1</v>
      </c>
      <c r="K9" s="4">
        <f>COUNTIF(B:B, 5)</f>
        <v>1</v>
      </c>
    </row>
    <row r="10" spans="1:17">
      <c r="A10" t="str">
        <f>D10&amp;" "&amp;E10&amp;", "&amp;F10&amp;"."&amp;G10</f>
        <v>Vigerslevvej 148, 2.th</v>
      </c>
      <c r="B10">
        <v>0</v>
      </c>
      <c r="C10">
        <v>0</v>
      </c>
      <c r="D10" t="s">
        <v>7</v>
      </c>
      <c r="E10">
        <v>148</v>
      </c>
      <c r="F10">
        <v>2</v>
      </c>
      <c r="G10" t="s">
        <v>11</v>
      </c>
      <c r="I10" s="4">
        <f>COUNTIF(B:B, 5)</f>
        <v>1</v>
      </c>
      <c r="J10" s="4">
        <f>COUNTIF(B:B, 5)</f>
        <v>1</v>
      </c>
      <c r="K10" s="4">
        <f>COUNTIF(B:B, 5)</f>
        <v>1</v>
      </c>
    </row>
    <row r="11" spans="1:17">
      <c r="A11" t="str">
        <f>D11&amp;" "&amp;E11&amp;", "&amp;F11&amp;"."&amp;G11</f>
        <v>Vigerslevvej 146, st.tv</v>
      </c>
      <c r="B11">
        <v>0</v>
      </c>
      <c r="C11">
        <v>0</v>
      </c>
      <c r="D11" t="s">
        <v>7</v>
      </c>
      <c r="E11">
        <v>146</v>
      </c>
      <c r="F11" t="s">
        <v>8</v>
      </c>
      <c r="G11" t="s">
        <v>9</v>
      </c>
    </row>
    <row r="12" spans="1:17">
      <c r="A12" t="str">
        <f>D12&amp;" "&amp;E12&amp;", "&amp;F12&amp;"."&amp;G12</f>
        <v>Vigerslevvej 146, st.th</v>
      </c>
      <c r="B12">
        <v>8</v>
      </c>
      <c r="C12">
        <v>0</v>
      </c>
      <c r="D12" t="s">
        <v>7</v>
      </c>
      <c r="E12">
        <v>146</v>
      </c>
      <c r="F12" t="s">
        <v>8</v>
      </c>
      <c r="G12" t="s">
        <v>11</v>
      </c>
      <c r="I12" s="4">
        <f>COUNTIF(B:B, 6)</f>
        <v>1</v>
      </c>
      <c r="J12" s="4">
        <f>COUNTIF(B:B, 6)</f>
        <v>1</v>
      </c>
      <c r="K12" s="4">
        <f>COUNTIF(B:B, 6)</f>
        <v>1</v>
      </c>
    </row>
    <row r="13" spans="1:17">
      <c r="A13" t="str">
        <f>D13&amp;" "&amp;E13&amp;", "&amp;F13&amp;"."&amp;G13</f>
        <v>Vigerslevvej 146, 1.tv</v>
      </c>
      <c r="B13" s="7">
        <v>46240</v>
      </c>
      <c r="C13">
        <v>0</v>
      </c>
      <c r="D13" t="s">
        <v>7</v>
      </c>
      <c r="E13">
        <v>146</v>
      </c>
      <c r="F13">
        <v>1</v>
      </c>
      <c r="G13" t="s">
        <v>9</v>
      </c>
      <c r="I13" s="4">
        <f>COUNTIF(B:B, 6)</f>
        <v>1</v>
      </c>
      <c r="J13" s="4">
        <f>COUNTIF(B:B, 6)</f>
        <v>1</v>
      </c>
      <c r="K13" s="4">
        <f>COUNTIF(B:B, 6)</f>
        <v>1</v>
      </c>
    </row>
    <row r="14" spans="1:17">
      <c r="A14" t="str">
        <f>D14&amp;" "&amp;E14&amp;", "&amp;F14&amp;"."&amp;G14</f>
        <v>Vigerslevvej 146, 1.th</v>
      </c>
      <c r="B14">
        <v>0</v>
      </c>
      <c r="C14">
        <v>0</v>
      </c>
      <c r="D14" t="s">
        <v>7</v>
      </c>
      <c r="E14">
        <v>146</v>
      </c>
      <c r="F14">
        <v>1</v>
      </c>
      <c r="G14" t="s">
        <v>11</v>
      </c>
      <c r="I14" s="4">
        <f>COUNTIF(B:B, 6)</f>
        <v>1</v>
      </c>
      <c r="J14" s="4">
        <f>COUNTIF(B:B, 6)</f>
        <v>1</v>
      </c>
      <c r="K14" s="4">
        <f>COUNTIF(B:B, 6)</f>
        <v>1</v>
      </c>
    </row>
    <row r="15" spans="1:17">
      <c r="A15" t="str">
        <f>D15&amp;" "&amp;E15&amp;", "&amp;F15&amp;"."&amp;G15</f>
        <v>Vigerslevvej 146, 2.tv</v>
      </c>
      <c r="B15">
        <v>0</v>
      </c>
      <c r="C15">
        <v>0</v>
      </c>
      <c r="D15" t="s">
        <v>7</v>
      </c>
      <c r="E15">
        <v>146</v>
      </c>
      <c r="F15">
        <v>2</v>
      </c>
      <c r="G15" t="s">
        <v>9</v>
      </c>
      <c r="I15" s="4">
        <f>COUNTIF(B:B, 6)</f>
        <v>1</v>
      </c>
      <c r="J15" s="4">
        <f>COUNTIF(B:B, 6)</f>
        <v>1</v>
      </c>
      <c r="K15" s="4">
        <f>COUNTIF(B:B, 6)</f>
        <v>1</v>
      </c>
    </row>
    <row r="16" spans="1:17">
      <c r="A16" t="str">
        <f>D16&amp;" "&amp;E16&amp;", "&amp;F16&amp;"."&amp;G16</f>
        <v>Vigerslevvej 146, 2.th</v>
      </c>
      <c r="B16">
        <v>0</v>
      </c>
      <c r="C16">
        <v>0</v>
      </c>
      <c r="D16" t="s">
        <v>7</v>
      </c>
      <c r="E16">
        <v>146</v>
      </c>
      <c r="F16">
        <v>2</v>
      </c>
      <c r="G16" t="s">
        <v>11</v>
      </c>
    </row>
    <row r="17" spans="1:19">
      <c r="A17" t="str">
        <f>D17&amp;" "&amp;E17&amp;", "&amp;F17&amp;"."&amp;G17</f>
        <v>Vigerslevvej 144, st.tv</v>
      </c>
      <c r="B17">
        <v>0</v>
      </c>
      <c r="C17">
        <v>0</v>
      </c>
      <c r="D17" t="s">
        <v>7</v>
      </c>
      <c r="E17">
        <v>144</v>
      </c>
      <c r="F17" t="s">
        <v>8</v>
      </c>
      <c r="G17" t="s">
        <v>9</v>
      </c>
      <c r="I17" s="4">
        <f>COUNTIF(B:B, 7)</f>
        <v>1</v>
      </c>
      <c r="J17" s="4">
        <f>COUNTIF(B:B, 7)</f>
        <v>1</v>
      </c>
      <c r="K17" s="4">
        <f>COUNTIF(B:B, 7)</f>
        <v>1</v>
      </c>
      <c r="P17">
        <f>COUNTIF(B:B, 1)</f>
        <v>1</v>
      </c>
      <c r="Q17">
        <f>COUNTIF(B:B, 1)</f>
        <v>1</v>
      </c>
      <c r="R17">
        <f>COUNTIF(B:B, 1)</f>
        <v>1</v>
      </c>
    </row>
    <row r="18" spans="1:19">
      <c r="A18" t="str">
        <f>D18&amp;" "&amp;E18&amp;", "&amp;F18&amp;"."&amp;G18</f>
        <v>Vigerslevvej 144, st.mf</v>
      </c>
      <c r="B18">
        <v>0</v>
      </c>
      <c r="C18">
        <v>0</v>
      </c>
      <c r="D18" t="s">
        <v>7</v>
      </c>
      <c r="E18">
        <v>144</v>
      </c>
      <c r="F18" t="s">
        <v>8</v>
      </c>
      <c r="G18" t="s">
        <v>10</v>
      </c>
      <c r="I18" s="4">
        <f>COUNTIF(B:B, 7)</f>
        <v>1</v>
      </c>
      <c r="J18" s="4">
        <f>COUNTIF(B:B, 7)</f>
        <v>1</v>
      </c>
      <c r="K18" s="4">
        <f>COUNTIF(B:B, 7)</f>
        <v>1</v>
      </c>
      <c r="P18">
        <f>COUNTIF(B:B, 1)</f>
        <v>1</v>
      </c>
      <c r="Q18">
        <f>COUNTIF(B:B, 1)</f>
        <v>1</v>
      </c>
      <c r="R18">
        <f>COUNTIF(B:B, 1)</f>
        <v>1</v>
      </c>
    </row>
    <row r="19" spans="1:19">
      <c r="A19" t="str">
        <f>D19&amp;" "&amp;E19&amp;", "&amp;F19&amp;"."&amp;G19</f>
        <v>Vigerslevvej 144, st.th</v>
      </c>
      <c r="B19">
        <v>0</v>
      </c>
      <c r="C19">
        <v>0</v>
      </c>
      <c r="D19" t="s">
        <v>7</v>
      </c>
      <c r="E19">
        <v>144</v>
      </c>
      <c r="F19" t="s">
        <v>8</v>
      </c>
      <c r="G19" t="s">
        <v>11</v>
      </c>
      <c r="I19" s="4">
        <f>COUNTIF(B:B, 7)</f>
        <v>1</v>
      </c>
      <c r="J19" s="4">
        <f>COUNTIF(B:B, 7)</f>
        <v>1</v>
      </c>
      <c r="K19" s="4">
        <f>COUNTIF(B:B, 7)</f>
        <v>1</v>
      </c>
      <c r="P19">
        <f>COUNTIF(B:B, 1)</f>
        <v>1</v>
      </c>
      <c r="Q19">
        <f>COUNTIF(B:B, 1)</f>
        <v>1</v>
      </c>
      <c r="R19">
        <f>COUNTIF(B:B, 1)</f>
        <v>1</v>
      </c>
    </row>
    <row r="20" spans="1:19">
      <c r="A20" t="str">
        <f>D20&amp;" "&amp;E20&amp;", "&amp;F20&amp;"."&amp;G20</f>
        <v>Vigerslevvej 144, 1.tv</v>
      </c>
      <c r="B20">
        <v>0</v>
      </c>
      <c r="C20">
        <v>0</v>
      </c>
      <c r="D20" t="s">
        <v>7</v>
      </c>
      <c r="E20">
        <v>144</v>
      </c>
      <c r="F20">
        <v>1</v>
      </c>
      <c r="G20" t="s">
        <v>9</v>
      </c>
      <c r="I20" s="4">
        <f>COUNTIF(B:B, 7)</f>
        <v>1</v>
      </c>
      <c r="J20" s="4">
        <f>COUNTIF(B:B, 7)</f>
        <v>1</v>
      </c>
      <c r="K20" s="4">
        <f>COUNTIF(B:B, 7)</f>
        <v>1</v>
      </c>
      <c r="P20">
        <f>COUNTIF(B:B, 1)</f>
        <v>1</v>
      </c>
      <c r="Q20">
        <f>COUNTIF(B:B, 1)</f>
        <v>1</v>
      </c>
      <c r="R20">
        <f>COUNTIF(B:B, 1)</f>
        <v>1</v>
      </c>
    </row>
    <row r="21" spans="1:19">
      <c r="A21" t="str">
        <f>D21&amp;" "&amp;E21&amp;", "&amp;F21&amp;"."&amp;G21</f>
        <v>Vigerslevvej 144, 1.mf</v>
      </c>
      <c r="B21">
        <v>0</v>
      </c>
      <c r="C21">
        <v>0</v>
      </c>
      <c r="D21" t="s">
        <v>7</v>
      </c>
      <c r="E21">
        <v>144</v>
      </c>
      <c r="F21">
        <v>1</v>
      </c>
      <c r="G21" t="s">
        <v>10</v>
      </c>
    </row>
    <row r="22" spans="1:19">
      <c r="A22" t="str">
        <f>D22&amp;" "&amp;E22&amp;", "&amp;F22&amp;"."&amp;G22</f>
        <v>Vigerslevvej 144, 1.th</v>
      </c>
      <c r="B22" s="1">
        <v>45870</v>
      </c>
      <c r="C22">
        <v>0</v>
      </c>
      <c r="D22" t="s">
        <v>7</v>
      </c>
      <c r="E22">
        <v>144</v>
      </c>
      <c r="F22">
        <v>1</v>
      </c>
      <c r="G22" t="s">
        <v>11</v>
      </c>
      <c r="I22" s="4">
        <f>COUNTIF(B:B, 8)</f>
        <v>1</v>
      </c>
      <c r="J22" s="4">
        <f>COUNTIF(B:B, 8)</f>
        <v>1</v>
      </c>
      <c r="K22" s="4">
        <f>COUNTIF(B:B, 8)</f>
        <v>1</v>
      </c>
      <c r="P22">
        <f>COUNTIF(B:B, 2)</f>
        <v>1</v>
      </c>
      <c r="Q22">
        <f>COUNTIF(B:B, 2)</f>
        <v>1</v>
      </c>
      <c r="R22">
        <f>COUNTIF(B:B, 2)</f>
        <v>1</v>
      </c>
    </row>
    <row r="23" spans="1:19">
      <c r="A23" t="str">
        <f>D23&amp;" "&amp;E23&amp;", "&amp;F23&amp;"."&amp;G23</f>
        <v>Vigerslevvej 144, 2.tv</v>
      </c>
      <c r="B23">
        <v>0</v>
      </c>
      <c r="C23">
        <v>0</v>
      </c>
      <c r="D23" t="s">
        <v>7</v>
      </c>
      <c r="E23">
        <v>144</v>
      </c>
      <c r="F23">
        <v>2</v>
      </c>
      <c r="G23" t="s">
        <v>9</v>
      </c>
      <c r="I23" s="4">
        <f>COUNTIF(B:B, 8)</f>
        <v>1</v>
      </c>
      <c r="J23" s="4">
        <f>COUNTIF(B:B, 8)</f>
        <v>1</v>
      </c>
      <c r="K23" s="4">
        <f>COUNTIF(B:B, 8)</f>
        <v>1</v>
      </c>
      <c r="P23">
        <f>COUNTIF(B:B, 2)</f>
        <v>1</v>
      </c>
      <c r="Q23">
        <f>COUNTIF(B:B, 2)</f>
        <v>1</v>
      </c>
      <c r="R23">
        <f>COUNTIF(B:B, 2)</f>
        <v>1</v>
      </c>
    </row>
    <row r="24" spans="1:19">
      <c r="A24" t="str">
        <f>D24&amp;" "&amp;E24&amp;", "&amp;F24&amp;"."&amp;G24</f>
        <v>Vigerslevvej 144, 2.mf</v>
      </c>
      <c r="B24">
        <v>0</v>
      </c>
      <c r="C24">
        <v>0</v>
      </c>
      <c r="D24" t="s">
        <v>7</v>
      </c>
      <c r="E24">
        <v>144</v>
      </c>
      <c r="F24">
        <v>2</v>
      </c>
      <c r="G24" t="s">
        <v>10</v>
      </c>
      <c r="I24" s="4">
        <f>COUNTIF(B:B, 8)</f>
        <v>1</v>
      </c>
      <c r="J24" s="4">
        <f>COUNTIF(B:B, 8)</f>
        <v>1</v>
      </c>
      <c r="K24" s="4">
        <f>COUNTIF(B:B, 8)</f>
        <v>1</v>
      </c>
      <c r="P24">
        <f>COUNTIF(B:B, 2)</f>
        <v>1</v>
      </c>
      <c r="Q24">
        <f>COUNTIF(B:B, 2)</f>
        <v>1</v>
      </c>
      <c r="R24">
        <f>COUNTIF(B:B, 2)</f>
        <v>1</v>
      </c>
    </row>
    <row r="25" spans="1:19">
      <c r="A25" t="str">
        <f>D25&amp;" "&amp;E25&amp;", "&amp;F25&amp;"."&amp;G25</f>
        <v>Vigerslevvej 144, 2.th</v>
      </c>
      <c r="B25" s="1">
        <v>45717</v>
      </c>
      <c r="C25">
        <v>0</v>
      </c>
      <c r="D25" t="s">
        <v>7</v>
      </c>
      <c r="E25">
        <v>144</v>
      </c>
      <c r="F25">
        <v>2</v>
      </c>
      <c r="G25" t="s">
        <v>11</v>
      </c>
      <c r="I25" s="4">
        <f>COUNTIF(B:B, 8)</f>
        <v>1</v>
      </c>
      <c r="J25" s="4">
        <f>COUNTIF(B:B, 8)</f>
        <v>1</v>
      </c>
      <c r="K25" s="4">
        <f>COUNTIF(B:B, 8)</f>
        <v>1</v>
      </c>
      <c r="P25">
        <f>COUNTIF(B:B, 2)</f>
        <v>1</v>
      </c>
      <c r="Q25">
        <f>COUNTIF(B:B, 2)</f>
        <v>1</v>
      </c>
      <c r="R25">
        <f>COUNTIF(B:B, 2)</f>
        <v>1</v>
      </c>
    </row>
    <row r="26" spans="1:19">
      <c r="A26" t="str">
        <f>D26&amp;" "&amp;E26&amp;", "&amp;F26&amp;"."&amp;G26</f>
        <v>Skyttegaardvej 11, st.tv</v>
      </c>
      <c r="B26">
        <v>0</v>
      </c>
      <c r="C26">
        <v>0</v>
      </c>
      <c r="D26" t="s">
        <v>12</v>
      </c>
      <c r="E26">
        <v>11</v>
      </c>
      <c r="F26" t="s">
        <v>8</v>
      </c>
      <c r="G26" t="s">
        <v>9</v>
      </c>
    </row>
    <row r="27" spans="1:19">
      <c r="A27" t="str">
        <f>D27&amp;" "&amp;E27&amp;", "&amp;F27&amp;"."&amp;G27</f>
        <v>Skyttegaardvej 11, st.mf</v>
      </c>
      <c r="B27">
        <v>0</v>
      </c>
      <c r="C27">
        <v>0</v>
      </c>
      <c r="D27" t="s">
        <v>12</v>
      </c>
      <c r="E27">
        <v>11</v>
      </c>
      <c r="F27" t="s">
        <v>8</v>
      </c>
      <c r="G27" t="s">
        <v>10</v>
      </c>
      <c r="I27" s="4">
        <f>COUNTIF(B:B, 9)</f>
        <v>1</v>
      </c>
      <c r="J27" s="4">
        <f>COUNTIF(B:B, 9)</f>
        <v>1</v>
      </c>
      <c r="K27" s="4">
        <f>COUNTIF(B:B, 9)</f>
        <v>1</v>
      </c>
      <c r="P27">
        <f>COUNTIF(B:B, 3)</f>
        <v>1</v>
      </c>
      <c r="Q27">
        <f>COUNTIF(B:B, 3)</f>
        <v>1</v>
      </c>
      <c r="R27">
        <f>COUNTIF(B:B, 3)</f>
        <v>1</v>
      </c>
    </row>
    <row r="28" spans="1:19">
      <c r="A28" t="str">
        <f>D28&amp;" "&amp;E28&amp;", "&amp;F28&amp;"."&amp;G28</f>
        <v>Skyttegaardvej 11, st.th</v>
      </c>
      <c r="B28">
        <v>0</v>
      </c>
      <c r="C28">
        <v>0</v>
      </c>
      <c r="D28" t="s">
        <v>12</v>
      </c>
      <c r="E28">
        <v>11</v>
      </c>
      <c r="F28" t="s">
        <v>8</v>
      </c>
      <c r="G28" t="s">
        <v>11</v>
      </c>
      <c r="I28" s="4">
        <f>COUNTIF(B:B, 9)</f>
        <v>1</v>
      </c>
      <c r="J28" s="4">
        <f>COUNTIF(B:B, 9)</f>
        <v>1</v>
      </c>
      <c r="K28" s="4">
        <f>COUNTIF(B:B, 9)</f>
        <v>1</v>
      </c>
      <c r="P28">
        <f>COUNTIF(B:B, 3)</f>
        <v>1</v>
      </c>
      <c r="Q28">
        <f>COUNTIF(B:B, 3)</f>
        <v>1</v>
      </c>
      <c r="R28">
        <f>COUNTIF(B:B, 3)</f>
        <v>1</v>
      </c>
    </row>
    <row r="29" spans="1:19">
      <c r="A29" t="str">
        <f>D29&amp;" "&amp;E29&amp;", "&amp;F29&amp;"."&amp;G29</f>
        <v>Skyttegaardvej 11, 1.tv</v>
      </c>
      <c r="B29" s="7">
        <v>46238</v>
      </c>
      <c r="C29">
        <v>0</v>
      </c>
      <c r="D29" t="s">
        <v>12</v>
      </c>
      <c r="E29">
        <v>11</v>
      </c>
      <c r="F29">
        <v>1</v>
      </c>
      <c r="G29" t="s">
        <v>9</v>
      </c>
      <c r="I29" s="4">
        <f>COUNTIF(B:B, 9)</f>
        <v>1</v>
      </c>
      <c r="J29" s="4">
        <f>COUNTIF(B:B, 9)</f>
        <v>1</v>
      </c>
      <c r="K29" s="4">
        <f>COUNTIF(B:B, 9)</f>
        <v>1</v>
      </c>
      <c r="P29">
        <f>COUNTIF(B:B, 3)</f>
        <v>1</v>
      </c>
      <c r="Q29">
        <f>COUNTIF(B:B, 3)</f>
        <v>1</v>
      </c>
      <c r="R29">
        <f>COUNTIF(B:B, 3)</f>
        <v>1</v>
      </c>
      <c r="S29" s="5"/>
    </row>
    <row r="30" spans="1:19">
      <c r="A30" t="str">
        <f>D30&amp;" "&amp;E30&amp;", "&amp;F30&amp;"."&amp;G30</f>
        <v>Skyttegaardvej 11, 1.mf</v>
      </c>
      <c r="B30">
        <v>2</v>
      </c>
      <c r="C30">
        <v>0</v>
      </c>
      <c r="D30" t="s">
        <v>12</v>
      </c>
      <c r="E30">
        <v>11</v>
      </c>
      <c r="F30">
        <v>1</v>
      </c>
      <c r="G30" t="s">
        <v>10</v>
      </c>
      <c r="I30" s="4">
        <f>COUNTIF(B:B, 9)</f>
        <v>1</v>
      </c>
      <c r="J30" s="4">
        <f>COUNTIF(B:B, 9)</f>
        <v>1</v>
      </c>
      <c r="K30" s="4">
        <f>COUNTIF(B:B, 9)</f>
        <v>1</v>
      </c>
      <c r="P30">
        <f>COUNTIF(B:B, 3)</f>
        <v>1</v>
      </c>
      <c r="Q30">
        <f>COUNTIF(B:B, 3)</f>
        <v>1</v>
      </c>
      <c r="R30">
        <f>COUNTIF(B:B, 3)</f>
        <v>1</v>
      </c>
    </row>
    <row r="31" spans="1:19">
      <c r="A31" t="str">
        <f>D31&amp;" "&amp;E31&amp;", "&amp;F31&amp;"."&amp;G31</f>
        <v>Skyttegaardvej 11, 1.th</v>
      </c>
      <c r="B31">
        <v>0</v>
      </c>
      <c r="C31">
        <v>0</v>
      </c>
      <c r="D31" t="s">
        <v>12</v>
      </c>
      <c r="E31">
        <v>11</v>
      </c>
      <c r="F31">
        <v>1</v>
      </c>
      <c r="G31" t="s">
        <v>11</v>
      </c>
    </row>
    <row r="32" spans="1:19">
      <c r="A32" t="str">
        <f>D32&amp;" "&amp;E32&amp;", "&amp;F32&amp;"."&amp;G32</f>
        <v>Skyttegaardvej 11, 2.tv</v>
      </c>
      <c r="B32" s="7">
        <v>46275</v>
      </c>
      <c r="C32">
        <v>0</v>
      </c>
      <c r="D32" t="s">
        <v>12</v>
      </c>
      <c r="E32">
        <v>11</v>
      </c>
      <c r="F32">
        <v>2</v>
      </c>
      <c r="G32" t="s">
        <v>9</v>
      </c>
    </row>
    <row r="33" spans="1:7">
      <c r="A33" t="str">
        <f>D33&amp;" "&amp;E33&amp;", "&amp;F33&amp;"."&amp;G33</f>
        <v>Skyttegaardvej 11, 2.mf</v>
      </c>
      <c r="B33">
        <v>0</v>
      </c>
      <c r="C33">
        <v>0</v>
      </c>
      <c r="D33" t="s">
        <v>12</v>
      </c>
      <c r="E33">
        <v>11</v>
      </c>
      <c r="F33">
        <v>2</v>
      </c>
      <c r="G33" t="s">
        <v>10</v>
      </c>
    </row>
    <row r="34" spans="1:7">
      <c r="A34" t="str">
        <f>D34&amp;" "&amp;E34&amp;", "&amp;F34&amp;"."&amp;G34</f>
        <v>Skyttegaardvej 11, 2.th</v>
      </c>
      <c r="B34">
        <v>5</v>
      </c>
      <c r="C34">
        <v>0</v>
      </c>
      <c r="D34" t="s">
        <v>12</v>
      </c>
      <c r="E34">
        <v>11</v>
      </c>
      <c r="F34">
        <v>2</v>
      </c>
      <c r="G34" t="s">
        <v>11</v>
      </c>
    </row>
    <row r="35" spans="1:7">
      <c r="A35" t="str">
        <f>D35&amp;" "&amp;E35&amp;", "&amp;F35&amp;"."&amp;G35</f>
        <v>Skyttegaardvej 9, st.tv</v>
      </c>
      <c r="B35">
        <v>0</v>
      </c>
      <c r="C35">
        <v>0</v>
      </c>
      <c r="D35" t="s">
        <v>12</v>
      </c>
      <c r="E35">
        <v>9</v>
      </c>
      <c r="F35" t="s">
        <v>8</v>
      </c>
      <c r="G35" t="s">
        <v>9</v>
      </c>
    </row>
    <row r="36" spans="1:7">
      <c r="A36" t="str">
        <f>D36&amp;" "&amp;E36&amp;", "&amp;F36&amp;"."&amp;G36</f>
        <v>Skyttegaardvej 9, st.th</v>
      </c>
      <c r="B36">
        <v>0</v>
      </c>
      <c r="C36">
        <v>0</v>
      </c>
      <c r="D36" t="s">
        <v>12</v>
      </c>
      <c r="E36">
        <v>9</v>
      </c>
      <c r="F36" t="s">
        <v>8</v>
      </c>
      <c r="G36" t="s">
        <v>11</v>
      </c>
    </row>
    <row r="37" spans="1:7">
      <c r="A37" t="str">
        <f>D37&amp;" "&amp;E37&amp;", "&amp;F37&amp;"."&amp;G37</f>
        <v>Skyttegaardvej 9, 1.tv</v>
      </c>
      <c r="B37">
        <v>0</v>
      </c>
      <c r="C37">
        <v>0</v>
      </c>
      <c r="D37" t="s">
        <v>12</v>
      </c>
      <c r="E37">
        <v>9</v>
      </c>
      <c r="F37">
        <v>1</v>
      </c>
      <c r="G37" t="s">
        <v>9</v>
      </c>
    </row>
    <row r="38" spans="1:7">
      <c r="A38" t="str">
        <f>D38&amp;" "&amp;E38&amp;", "&amp;F38&amp;"."&amp;G38</f>
        <v>Skyttegaardvej 9, 1.th</v>
      </c>
      <c r="B38">
        <v>6</v>
      </c>
      <c r="C38">
        <v>11</v>
      </c>
      <c r="D38" t="s">
        <v>12</v>
      </c>
      <c r="E38">
        <v>9</v>
      </c>
      <c r="F38">
        <v>1</v>
      </c>
      <c r="G38" t="s">
        <v>11</v>
      </c>
    </row>
    <row r="39" spans="1:7">
      <c r="A39" t="str">
        <f>D39&amp;" "&amp;E39&amp;", "&amp;F39&amp;"."&amp;G39</f>
        <v>Skyttegaardvej 9, 2.tv</v>
      </c>
      <c r="B39">
        <v>0</v>
      </c>
      <c r="C39">
        <v>0</v>
      </c>
      <c r="D39" t="s">
        <v>12</v>
      </c>
      <c r="E39">
        <v>9</v>
      </c>
      <c r="F39">
        <v>2</v>
      </c>
      <c r="G39" t="s">
        <v>9</v>
      </c>
    </row>
    <row r="40" spans="1:7">
      <c r="A40" t="str">
        <f>D40&amp;" "&amp;E40&amp;", "&amp;F40&amp;"."&amp;G40</f>
        <v>Skyttegaardvej 9, 2.th</v>
      </c>
      <c r="B40">
        <v>0</v>
      </c>
      <c r="C40">
        <v>0</v>
      </c>
      <c r="D40" t="s">
        <v>12</v>
      </c>
      <c r="E40">
        <v>9</v>
      </c>
      <c r="F40">
        <v>2</v>
      </c>
      <c r="G40" t="s">
        <v>11</v>
      </c>
    </row>
    <row r="41" spans="1:7">
      <c r="A41" t="str">
        <f>D41&amp;" "&amp;E41&amp;", "&amp;F41&amp;"."&amp;G41</f>
        <v>Skyttegaardvej 7, st.tv</v>
      </c>
      <c r="B41">
        <v>7</v>
      </c>
      <c r="C41">
        <v>0</v>
      </c>
      <c r="D41" t="s">
        <v>12</v>
      </c>
      <c r="E41">
        <v>7</v>
      </c>
      <c r="F41" t="s">
        <v>8</v>
      </c>
      <c r="G41" t="s">
        <v>9</v>
      </c>
    </row>
    <row r="42" spans="1:7">
      <c r="A42" t="str">
        <f>D42&amp;" "&amp;E42&amp;", "&amp;F42&amp;"."&amp;G42</f>
        <v>Skyttegaardvej 7, st.mf</v>
      </c>
      <c r="B42">
        <v>9</v>
      </c>
      <c r="C42">
        <v>0</v>
      </c>
      <c r="D42" t="s">
        <v>12</v>
      </c>
      <c r="E42">
        <v>7</v>
      </c>
      <c r="F42" t="s">
        <v>8</v>
      </c>
      <c r="G42" t="s">
        <v>10</v>
      </c>
    </row>
    <row r="43" spans="1:7">
      <c r="A43" t="str">
        <f>D43&amp;" "&amp;E43&amp;", "&amp;F43&amp;"."&amp;G43</f>
        <v>Skyttegaardvej 7, st.th</v>
      </c>
      <c r="B43">
        <v>0</v>
      </c>
      <c r="C43">
        <v>0</v>
      </c>
      <c r="D43" t="s">
        <v>12</v>
      </c>
      <c r="E43">
        <v>7</v>
      </c>
      <c r="F43" t="s">
        <v>8</v>
      </c>
      <c r="G43" t="s">
        <v>11</v>
      </c>
    </row>
    <row r="44" spans="1:7">
      <c r="A44" t="str">
        <f>D44&amp;" "&amp;E44&amp;", "&amp;F44&amp;"."&amp;G44</f>
        <v>Skyttegaardvej 7, 1.tv</v>
      </c>
      <c r="B44" s="6">
        <v>46053</v>
      </c>
      <c r="C44">
        <v>0</v>
      </c>
      <c r="D44" t="s">
        <v>12</v>
      </c>
      <c r="E44">
        <v>7</v>
      </c>
      <c r="F44">
        <v>1</v>
      </c>
      <c r="G44" t="s">
        <v>9</v>
      </c>
    </row>
    <row r="45" spans="1:7">
      <c r="A45" t="str">
        <f>D45&amp;" "&amp;E45&amp;", "&amp;F45&amp;"."&amp;G45</f>
        <v>Skyttegaardvej 7, 1.mf</v>
      </c>
      <c r="B45">
        <v>0</v>
      </c>
      <c r="C45">
        <v>0</v>
      </c>
      <c r="D45" t="s">
        <v>12</v>
      </c>
      <c r="E45">
        <v>7</v>
      </c>
      <c r="F45">
        <v>1</v>
      </c>
      <c r="G45" t="s">
        <v>10</v>
      </c>
    </row>
    <row r="46" spans="1:7">
      <c r="A46" t="str">
        <f>D46&amp;" "&amp;E46&amp;", "&amp;F46&amp;"."&amp;G46</f>
        <v>Skyttegaardvej 7, 1.th</v>
      </c>
      <c r="B46">
        <v>0</v>
      </c>
      <c r="C46">
        <v>0</v>
      </c>
      <c r="D46" t="s">
        <v>12</v>
      </c>
      <c r="E46">
        <v>7</v>
      </c>
      <c r="F46">
        <v>1</v>
      </c>
      <c r="G46" t="s">
        <v>11</v>
      </c>
    </row>
    <row r="47" spans="1:7">
      <c r="A47" t="str">
        <f>D47&amp;" "&amp;E47&amp;", "&amp;F47&amp;"."&amp;G47</f>
        <v>Skyttegaardvej 7, 2.tv</v>
      </c>
      <c r="B47">
        <v>0</v>
      </c>
      <c r="C47">
        <v>0</v>
      </c>
      <c r="D47" t="s">
        <v>12</v>
      </c>
      <c r="E47">
        <v>7</v>
      </c>
      <c r="F47">
        <v>2</v>
      </c>
      <c r="G47" t="s">
        <v>9</v>
      </c>
    </row>
    <row r="48" spans="1:7">
      <c r="A48" t="str">
        <f>D48&amp;" "&amp;E48&amp;", "&amp;F48&amp;"."&amp;G48</f>
        <v>Skyttegaardvej 7, 2.mf</v>
      </c>
      <c r="B48">
        <v>0</v>
      </c>
      <c r="C48">
        <v>0</v>
      </c>
      <c r="D48" t="s">
        <v>12</v>
      </c>
      <c r="E48">
        <v>7</v>
      </c>
      <c r="F48">
        <v>2</v>
      </c>
      <c r="G48" t="s">
        <v>10</v>
      </c>
    </row>
    <row r="49" spans="1:7">
      <c r="A49" t="str">
        <f>D49&amp;" "&amp;E49&amp;", "&amp;F49&amp;"."&amp;G49</f>
        <v>Skyttegaardvej 7, 2.th</v>
      </c>
      <c r="B49">
        <v>0</v>
      </c>
      <c r="C49">
        <v>0</v>
      </c>
      <c r="D49" t="s">
        <v>12</v>
      </c>
      <c r="E49">
        <v>7</v>
      </c>
      <c r="F49">
        <v>2</v>
      </c>
      <c r="G49" t="s">
        <v>11</v>
      </c>
    </row>
    <row r="50" spans="1:7">
      <c r="A50" t="str">
        <f>D50&amp;" "&amp;E50&amp;", "&amp;F50&amp;"."&amp;G50</f>
        <v>Skyttegaardvej 5, st.tv</v>
      </c>
      <c r="B50">
        <v>0</v>
      </c>
      <c r="C50">
        <v>0</v>
      </c>
      <c r="D50" t="s">
        <v>12</v>
      </c>
      <c r="E50">
        <v>5</v>
      </c>
      <c r="F50" t="s">
        <v>8</v>
      </c>
      <c r="G50" t="s">
        <v>9</v>
      </c>
    </row>
    <row r="51" spans="1:7">
      <c r="A51" t="str">
        <f>D51&amp;" "&amp;E51&amp;", "&amp;F51&amp;"."&amp;G51</f>
        <v>Skyttegaardvej 5, st.mf</v>
      </c>
      <c r="B51">
        <v>0</v>
      </c>
      <c r="C51">
        <v>0</v>
      </c>
      <c r="D51" t="s">
        <v>12</v>
      </c>
      <c r="E51">
        <v>5</v>
      </c>
      <c r="F51" t="s">
        <v>8</v>
      </c>
      <c r="G51" t="s">
        <v>10</v>
      </c>
    </row>
    <row r="52" spans="1:7">
      <c r="A52" t="str">
        <f>D52&amp;" "&amp;E52&amp;", "&amp;F52&amp;"."&amp;G52</f>
        <v>Skyttegaardvej 5, st.th</v>
      </c>
      <c r="B52">
        <v>0</v>
      </c>
      <c r="C52">
        <v>0</v>
      </c>
      <c r="D52" t="s">
        <v>12</v>
      </c>
      <c r="E52">
        <v>5</v>
      </c>
      <c r="F52" t="s">
        <v>8</v>
      </c>
      <c r="G52" t="s">
        <v>11</v>
      </c>
    </row>
    <row r="53" spans="1:7">
      <c r="A53" t="str">
        <f>D53&amp;" "&amp;E53&amp;", "&amp;F53&amp;"."&amp;G53</f>
        <v>Skyttegaardvej 5, 1.tv</v>
      </c>
      <c r="B53">
        <v>0</v>
      </c>
      <c r="C53">
        <v>0</v>
      </c>
      <c r="D53" t="s">
        <v>12</v>
      </c>
      <c r="E53">
        <v>5</v>
      </c>
      <c r="F53">
        <v>1</v>
      </c>
      <c r="G53" t="s">
        <v>9</v>
      </c>
    </row>
    <row r="54" spans="1:7">
      <c r="A54" t="str">
        <f>D54&amp;" "&amp;E54&amp;", "&amp;F54&amp;"."&amp;G54</f>
        <v>Skyttegaardvej 5, 1.mf</v>
      </c>
      <c r="B54" s="2">
        <v>0</v>
      </c>
      <c r="C54">
        <v>0</v>
      </c>
      <c r="D54" t="s">
        <v>12</v>
      </c>
      <c r="E54">
        <v>5</v>
      </c>
      <c r="F54">
        <v>1</v>
      </c>
      <c r="G54" t="s">
        <v>10</v>
      </c>
    </row>
    <row r="55" spans="1:7">
      <c r="A55" t="str">
        <f>D55&amp;" "&amp;E55&amp;", "&amp;F55&amp;"."&amp;G55</f>
        <v>Skyttegaardvej 5, 1.th</v>
      </c>
      <c r="B55">
        <v>0</v>
      </c>
      <c r="C55">
        <v>0</v>
      </c>
      <c r="D55" t="s">
        <v>12</v>
      </c>
      <c r="E55">
        <v>5</v>
      </c>
      <c r="F55">
        <v>1</v>
      </c>
      <c r="G55" t="s">
        <v>11</v>
      </c>
    </row>
    <row r="56" spans="1:7">
      <c r="A56" t="str">
        <f>D56&amp;" "&amp;E56&amp;", "&amp;F56&amp;"."&amp;G56</f>
        <v>Skyttegaardvej 5, 2.tv</v>
      </c>
      <c r="B56">
        <v>0</v>
      </c>
      <c r="C56">
        <v>0</v>
      </c>
      <c r="D56" t="s">
        <v>12</v>
      </c>
      <c r="E56">
        <v>5</v>
      </c>
      <c r="F56">
        <v>2</v>
      </c>
      <c r="G56" t="s">
        <v>9</v>
      </c>
    </row>
    <row r="57" spans="1:7">
      <c r="A57" t="str">
        <f>D57&amp;" "&amp;E57&amp;", "&amp;F57&amp;"."&amp;G57</f>
        <v>Skyttegaardvej 5, 2.mf</v>
      </c>
      <c r="B57">
        <v>0</v>
      </c>
      <c r="C57">
        <v>0</v>
      </c>
      <c r="D57" t="s">
        <v>12</v>
      </c>
      <c r="E57">
        <v>5</v>
      </c>
      <c r="F57">
        <v>2</v>
      </c>
      <c r="G57" t="s">
        <v>10</v>
      </c>
    </row>
    <row r="58" spans="1:7">
      <c r="A58" t="str">
        <f>D58&amp;" "&amp;E58&amp;", "&amp;F58&amp;"."&amp;G58</f>
        <v>Skyttegaardvej 5, 2.th</v>
      </c>
      <c r="B58">
        <v>0</v>
      </c>
      <c r="C58">
        <v>0</v>
      </c>
      <c r="D58" t="s">
        <v>12</v>
      </c>
      <c r="E58">
        <v>5</v>
      </c>
      <c r="F58">
        <v>2</v>
      </c>
      <c r="G58" t="s">
        <v>11</v>
      </c>
    </row>
    <row r="59" spans="1:7">
      <c r="A59" t="str">
        <f>D59&amp;" "&amp;E59&amp;", "&amp;F59&amp;"."&amp;G59</f>
        <v>Skyttegaardvej 3, st.tv</v>
      </c>
      <c r="B59">
        <v>0</v>
      </c>
      <c r="C59">
        <v>0</v>
      </c>
      <c r="D59" t="s">
        <v>12</v>
      </c>
      <c r="E59">
        <v>3</v>
      </c>
      <c r="F59" t="s">
        <v>8</v>
      </c>
      <c r="G59" t="s">
        <v>9</v>
      </c>
    </row>
    <row r="60" spans="1:7">
      <c r="A60" t="str">
        <f>D60&amp;" "&amp;E60&amp;", "&amp;F60&amp;"."&amp;G60</f>
        <v>Skyttegaardvej 3, st.th</v>
      </c>
      <c r="B60">
        <v>1</v>
      </c>
      <c r="C60">
        <v>0</v>
      </c>
      <c r="D60" t="s">
        <v>12</v>
      </c>
      <c r="E60">
        <v>3</v>
      </c>
      <c r="F60" t="s">
        <v>8</v>
      </c>
      <c r="G60" t="s">
        <v>11</v>
      </c>
    </row>
    <row r="61" spans="1:7">
      <c r="A61" t="str">
        <f>D61&amp;" "&amp;E61&amp;", "&amp;F61&amp;"."&amp;G61</f>
        <v>Skyttegaardvej 3, 1.tv</v>
      </c>
      <c r="B61">
        <v>0</v>
      </c>
      <c r="C61">
        <v>0</v>
      </c>
      <c r="D61" t="s">
        <v>12</v>
      </c>
      <c r="E61">
        <v>3</v>
      </c>
      <c r="F61">
        <v>1</v>
      </c>
      <c r="G61" t="s">
        <v>9</v>
      </c>
    </row>
    <row r="62" spans="1:7">
      <c r="A62" t="str">
        <f>D62&amp;" "&amp;E62&amp;", "&amp;F62&amp;"."&amp;G62</f>
        <v>Skyttegaardvej 3, 1.th</v>
      </c>
      <c r="B62">
        <v>0</v>
      </c>
      <c r="C62">
        <v>0</v>
      </c>
      <c r="D62" t="s">
        <v>12</v>
      </c>
      <c r="E62">
        <v>3</v>
      </c>
      <c r="F62">
        <v>1</v>
      </c>
      <c r="G62" t="s">
        <v>11</v>
      </c>
    </row>
    <row r="63" spans="1:7">
      <c r="A63" t="str">
        <f>D63&amp;" "&amp;E63&amp;", "&amp;F63&amp;"."&amp;G63</f>
        <v>Skyttegaardvej 3, 2.tv</v>
      </c>
      <c r="B63">
        <v>0</v>
      </c>
      <c r="C63">
        <v>0</v>
      </c>
      <c r="D63" t="s">
        <v>12</v>
      </c>
      <c r="E63">
        <v>3</v>
      </c>
      <c r="F63">
        <v>2</v>
      </c>
      <c r="G63" t="s">
        <v>9</v>
      </c>
    </row>
    <row r="64" spans="1:7">
      <c r="A64" t="str">
        <f>D64&amp;" "&amp;E64&amp;", "&amp;F64&amp;"."&amp;G64</f>
        <v>Skyttegaardvej 3, 2.th</v>
      </c>
      <c r="B64" s="6">
        <v>46160</v>
      </c>
      <c r="C64">
        <v>0</v>
      </c>
      <c r="D64" t="s">
        <v>12</v>
      </c>
      <c r="E64">
        <v>3</v>
      </c>
      <c r="F64">
        <v>2</v>
      </c>
      <c r="G64" t="s">
        <v>11</v>
      </c>
    </row>
    <row r="65" spans="1:7">
      <c r="A65" t="str">
        <f>D65&amp;" "&amp;E65&amp;", "&amp;F65&amp;"."&amp;G65</f>
        <v>Skyttegaardvej 1, st.tv</v>
      </c>
      <c r="B65">
        <v>0</v>
      </c>
      <c r="C65">
        <v>0</v>
      </c>
      <c r="D65" t="s">
        <v>12</v>
      </c>
      <c r="E65">
        <v>1</v>
      </c>
      <c r="F65" t="s">
        <v>8</v>
      </c>
      <c r="G65" t="s">
        <v>9</v>
      </c>
    </row>
    <row r="66" spans="1:7">
      <c r="A66" t="str">
        <f>D66&amp;" "&amp;E66&amp;", "&amp;F66&amp;"."&amp;G66</f>
        <v>Skyttegaardvej 1, st.th</v>
      </c>
      <c r="B66">
        <v>0</v>
      </c>
      <c r="C66">
        <v>0</v>
      </c>
      <c r="D66" t="s">
        <v>12</v>
      </c>
      <c r="E66">
        <v>1</v>
      </c>
      <c r="F66" t="s">
        <v>8</v>
      </c>
      <c r="G66" t="s">
        <v>11</v>
      </c>
    </row>
    <row r="67" spans="1:7">
      <c r="A67" t="str">
        <f>D67&amp;" "&amp;E67&amp;", "&amp;F67&amp;"."&amp;G67</f>
        <v>Skyttegaardvej 1, 1.tv</v>
      </c>
      <c r="B67">
        <v>0</v>
      </c>
      <c r="C67">
        <v>0</v>
      </c>
      <c r="D67" t="s">
        <v>12</v>
      </c>
      <c r="E67">
        <v>1</v>
      </c>
      <c r="F67">
        <v>1</v>
      </c>
      <c r="G67" t="s">
        <v>9</v>
      </c>
    </row>
    <row r="68" spans="1:7">
      <c r="A68" t="str">
        <f>D68&amp;" "&amp;E68&amp;", "&amp;F68&amp;"."&amp;G68</f>
        <v>Skyttegaardvej 1, 1.th</v>
      </c>
      <c r="B68" s="6">
        <v>46048</v>
      </c>
      <c r="C68">
        <v>0</v>
      </c>
      <c r="D68" t="s">
        <v>12</v>
      </c>
      <c r="E68">
        <v>1</v>
      </c>
      <c r="F68">
        <v>1</v>
      </c>
      <c r="G68" t="s">
        <v>11</v>
      </c>
    </row>
    <row r="69" spans="1:7">
      <c r="A69" t="str">
        <f>D69&amp;" "&amp;E69&amp;", "&amp;F69&amp;"."&amp;G69</f>
        <v>Skyttegaardvej 1, 2.tv</v>
      </c>
      <c r="B69">
        <v>0</v>
      </c>
      <c r="C69">
        <v>0</v>
      </c>
      <c r="D69" t="s">
        <v>12</v>
      </c>
      <c r="E69">
        <v>1</v>
      </c>
      <c r="F69">
        <v>2</v>
      </c>
      <c r="G69" t="s">
        <v>9</v>
      </c>
    </row>
    <row r="70" spans="1:7">
      <c r="A70" t="str">
        <f>D70&amp;" "&amp;E70&amp;", "&amp;F70&amp;"."&amp;G70</f>
        <v>Skyttegaardvej 1, 2.th</v>
      </c>
      <c r="B70">
        <v>3</v>
      </c>
      <c r="C70">
        <v>0</v>
      </c>
      <c r="D70" t="s">
        <v>12</v>
      </c>
      <c r="E70">
        <v>1</v>
      </c>
      <c r="F70">
        <v>2</v>
      </c>
      <c r="G70" t="s">
        <v>11</v>
      </c>
    </row>
  </sheetData>
  <conditionalFormatting sqref="B55:B70 B2:B53">
    <cfRule type="cellIs" dxfId="12" priority="21" operator="equal">
      <formula>0</formula>
    </cfRule>
    <cfRule type="cellIs" dxfId="11" priority="22" operator="greaterThan">
      <formula>0</formula>
    </cfRule>
  </conditionalFormatting>
  <conditionalFormatting sqref="I2:K5">
    <cfRule type="expression" dxfId="10" priority="14">
      <formula>I2=1</formula>
    </cfRule>
  </conditionalFormatting>
  <conditionalFormatting sqref="I7:K10">
    <cfRule type="expression" dxfId="9" priority="13">
      <formula>I7=1</formula>
    </cfRule>
  </conditionalFormatting>
  <conditionalFormatting sqref="I12:K15">
    <cfRule type="expression" dxfId="8" priority="12">
      <formula>I12=1</formula>
    </cfRule>
  </conditionalFormatting>
  <conditionalFormatting sqref="I17:K20">
    <cfRule type="expression" dxfId="7" priority="11">
      <formula>I17=1</formula>
    </cfRule>
  </conditionalFormatting>
  <conditionalFormatting sqref="I22:K25">
    <cfRule type="expression" dxfId="6" priority="10">
      <formula>I22=1</formula>
    </cfRule>
  </conditionalFormatting>
  <conditionalFormatting sqref="I27:K30">
    <cfRule type="expression" dxfId="5" priority="9">
      <formula>I27=1</formula>
    </cfRule>
  </conditionalFormatting>
  <conditionalFormatting sqref="P17:R20">
    <cfRule type="expression" dxfId="4" priority="6">
      <formula>P17=1</formula>
    </cfRule>
  </conditionalFormatting>
  <conditionalFormatting sqref="P22:R25">
    <cfRule type="expression" dxfId="3" priority="5">
      <formula>P22=1</formula>
    </cfRule>
  </conditionalFormatting>
  <conditionalFormatting sqref="P27:R30">
    <cfRule type="expression" dxfId="2" priority="3">
      <formula>P27=1</formula>
    </cfRule>
  </conditionalFormatting>
  <conditionalFormatting sqref="C2:C70">
    <cfRule type="cellIs" dxfId="1" priority="1" operator="equal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Gæstebruger</cp:lastModifiedBy>
  <cp:revision/>
  <dcterms:created xsi:type="dcterms:W3CDTF">2023-11-22T00:02:24Z</dcterms:created>
  <dcterms:modified xsi:type="dcterms:W3CDTF">2026-10-31T16:53:54Z</dcterms:modified>
  <cp:category/>
  <cp:contentStatus/>
</cp:coreProperties>
</file>